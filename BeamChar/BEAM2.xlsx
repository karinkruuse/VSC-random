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37259\Desktop\kool\VSC-random\BeamChar\"/>
    </mc:Choice>
  </mc:AlternateContent>
  <xr:revisionPtr revIDLastSave="0" documentId="13_ncr:1_{D8F505F6-A519-426E-94C7-48224143FF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B5" i="1"/>
  <c r="C5" i="1"/>
  <c r="T21" i="1"/>
  <c r="U21" i="1"/>
  <c r="V21" i="1"/>
  <c r="W21" i="1"/>
  <c r="X21" i="1"/>
  <c r="Y21" i="1"/>
  <c r="Z21" i="1"/>
  <c r="T20" i="1"/>
  <c r="U20" i="1"/>
  <c r="V20" i="1"/>
  <c r="W20" i="1"/>
  <c r="X20" i="1"/>
  <c r="Y20" i="1"/>
  <c r="Z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B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B20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B19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B18" i="1"/>
</calcChain>
</file>

<file path=xl/sharedStrings.xml><?xml version="1.0" encoding="utf-8"?>
<sst xmlns="http://schemas.openxmlformats.org/spreadsheetml/2006/main" count="18" uniqueCount="18">
  <si>
    <t>Distance</t>
  </si>
  <si>
    <t>Beam Width (4-Sigma) X</t>
  </si>
  <si>
    <t>Beam Width (4-Sigma) Y</t>
  </si>
  <si>
    <t>Centroid Position X</t>
  </si>
  <si>
    <t>Centroid Position Y</t>
  </si>
  <si>
    <t>Total Power</t>
  </si>
  <si>
    <t>Ellipticity</t>
  </si>
  <si>
    <t>Minor Ellipse Diameter (13.5%)</t>
  </si>
  <si>
    <t>Major Ellipse Diameter (13.5%)</t>
  </si>
  <si>
    <t>Beam Width Clip X (13.5%)</t>
  </si>
  <si>
    <t>Beam Width Clip Y (13.5%)</t>
  </si>
  <si>
    <t>Gaussian Diameter X</t>
  </si>
  <si>
    <t>Gaussian Diameter Y</t>
  </si>
  <si>
    <t>holes</t>
  </si>
  <si>
    <t>Diff Y</t>
  </si>
  <si>
    <t>Diff X (ellips minor - clip X)</t>
  </si>
  <si>
    <t>ellipoticity</t>
  </si>
  <si>
    <t>ellipticity from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</si>
</sst>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21"/>
  <sheetViews>
    <sheetView tabSelected="1" zoomScale="85" zoomScaleNormal="85" workbookViewId="0">
      <selection activeCell="U31" sqref="U31"/>
    </sheetView>
  </sheetViews>
  <sheetFormatPr defaultColWidth="9" defaultRowHeight="14.4"/>
  <cols>
    <col min="1" max="1" width="41.77734375" customWidth="1"/>
  </cols>
  <sheetData>
    <row r="4" spans="1:26">
      <c r="A4" t="s">
        <v>13</v>
      </c>
      <c r="B4">
        <v>11</v>
      </c>
      <c r="C4">
        <v>13</v>
      </c>
      <c r="D4">
        <v>15</v>
      </c>
      <c r="E4">
        <v>17</v>
      </c>
      <c r="F4">
        <v>19</v>
      </c>
      <c r="G4">
        <v>21</v>
      </c>
      <c r="H4">
        <v>23</v>
      </c>
      <c r="I4">
        <v>25</v>
      </c>
      <c r="J4">
        <v>27</v>
      </c>
      <c r="K4">
        <v>29</v>
      </c>
      <c r="L4">
        <v>31</v>
      </c>
      <c r="M4">
        <v>33</v>
      </c>
      <c r="N4">
        <v>35</v>
      </c>
      <c r="O4">
        <v>37</v>
      </c>
      <c r="P4">
        <v>39</v>
      </c>
      <c r="Q4">
        <v>41</v>
      </c>
      <c r="R4">
        <v>43</v>
      </c>
      <c r="S4">
        <v>45</v>
      </c>
      <c r="T4">
        <v>47</v>
      </c>
      <c r="U4">
        <v>49</v>
      </c>
      <c r="V4">
        <v>51</v>
      </c>
      <c r="W4">
        <v>53</v>
      </c>
      <c r="X4">
        <v>55</v>
      </c>
      <c r="Y4">
        <v>57</v>
      </c>
      <c r="Z4">
        <v>59</v>
      </c>
    </row>
    <row r="5" spans="1:26">
      <c r="A5" t="s">
        <v>0</v>
      </c>
      <c r="B5">
        <f>(B4-9)*25.4 + 5</f>
        <v>55.8</v>
      </c>
      <c r="C5">
        <f>(C4-9)*25.4</f>
        <v>101.6</v>
      </c>
      <c r="D5">
        <f t="shared" ref="D5:Z5" si="0">(D4-9)*25.4</f>
        <v>152.39999999999998</v>
      </c>
      <c r="E5">
        <f t="shared" si="0"/>
        <v>203.2</v>
      </c>
      <c r="F5">
        <f t="shared" si="0"/>
        <v>254</v>
      </c>
      <c r="G5">
        <f t="shared" si="0"/>
        <v>304.79999999999995</v>
      </c>
      <c r="H5">
        <f t="shared" si="0"/>
        <v>355.59999999999997</v>
      </c>
      <c r="I5">
        <f t="shared" si="0"/>
        <v>406.4</v>
      </c>
      <c r="J5">
        <f t="shared" si="0"/>
        <v>457.2</v>
      </c>
      <c r="K5">
        <f t="shared" si="0"/>
        <v>508</v>
      </c>
      <c r="L5">
        <f t="shared" si="0"/>
        <v>558.79999999999995</v>
      </c>
      <c r="M5">
        <f t="shared" si="0"/>
        <v>609.59999999999991</v>
      </c>
      <c r="N5">
        <f t="shared" si="0"/>
        <v>660.4</v>
      </c>
      <c r="O5">
        <f t="shared" si="0"/>
        <v>711.19999999999993</v>
      </c>
      <c r="P5">
        <f t="shared" si="0"/>
        <v>762</v>
      </c>
      <c r="Q5">
        <f t="shared" si="0"/>
        <v>812.8</v>
      </c>
      <c r="R5">
        <f t="shared" si="0"/>
        <v>863.59999999999991</v>
      </c>
      <c r="S5">
        <f t="shared" si="0"/>
        <v>914.4</v>
      </c>
      <c r="T5">
        <f t="shared" si="0"/>
        <v>965.19999999999993</v>
      </c>
      <c r="U5">
        <f t="shared" si="0"/>
        <v>1016</v>
      </c>
      <c r="V5">
        <f t="shared" si="0"/>
        <v>1066.8</v>
      </c>
      <c r="W5">
        <f t="shared" si="0"/>
        <v>1117.5999999999999</v>
      </c>
      <c r="X5">
        <f t="shared" si="0"/>
        <v>1168.3999999999999</v>
      </c>
      <c r="Y5">
        <f t="shared" si="0"/>
        <v>1219.1999999999998</v>
      </c>
      <c r="Z5">
        <f t="shared" si="0"/>
        <v>1270</v>
      </c>
    </row>
    <row r="6" spans="1:26">
      <c r="A6" t="s">
        <v>1</v>
      </c>
      <c r="B6">
        <v>860.2</v>
      </c>
      <c r="C6">
        <v>1046.5</v>
      </c>
      <c r="D6">
        <v>1248.7</v>
      </c>
      <c r="E6">
        <v>1445.1</v>
      </c>
      <c r="F6">
        <v>1658</v>
      </c>
      <c r="G6">
        <v>1856.9</v>
      </c>
      <c r="H6">
        <v>2076.8000000000002</v>
      </c>
      <c r="I6">
        <v>2288.6</v>
      </c>
      <c r="J6">
        <v>2491.4</v>
      </c>
      <c r="K6">
        <v>2694.3</v>
      </c>
      <c r="L6">
        <v>2883.6</v>
      </c>
      <c r="M6">
        <v>3089.4</v>
      </c>
      <c r="N6">
        <v>3299.2</v>
      </c>
      <c r="O6">
        <v>3498.9</v>
      </c>
      <c r="P6">
        <v>3702.1</v>
      </c>
      <c r="Q6">
        <v>3911.3</v>
      </c>
      <c r="R6">
        <v>4129.7</v>
      </c>
      <c r="S6">
        <v>4326.7</v>
      </c>
      <c r="T6">
        <v>4518.8999999999996</v>
      </c>
      <c r="U6">
        <v>4723.7</v>
      </c>
      <c r="V6">
        <v>4901.1000000000004</v>
      </c>
      <c r="W6">
        <v>5089.8999999999996</v>
      </c>
      <c r="X6">
        <v>5290.1</v>
      </c>
      <c r="Y6">
        <v>5473.2</v>
      </c>
      <c r="Z6">
        <v>5642.3</v>
      </c>
    </row>
    <row r="7" spans="1:26">
      <c r="A7" t="s">
        <v>2</v>
      </c>
      <c r="B7">
        <v>804.3</v>
      </c>
      <c r="C7">
        <v>962.1</v>
      </c>
      <c r="D7">
        <v>1141.5999999999999</v>
      </c>
      <c r="E7">
        <v>1317.7</v>
      </c>
      <c r="F7">
        <v>1512.3</v>
      </c>
      <c r="G7">
        <v>1691.2</v>
      </c>
      <c r="H7">
        <v>1877.5</v>
      </c>
      <c r="I7">
        <v>2068.3000000000002</v>
      </c>
      <c r="J7">
        <v>2252.1</v>
      </c>
      <c r="K7">
        <v>2434.1</v>
      </c>
      <c r="L7">
        <v>2611</v>
      </c>
      <c r="M7">
        <v>2798.7</v>
      </c>
      <c r="N7">
        <v>3003.3</v>
      </c>
      <c r="O7">
        <v>3185.9</v>
      </c>
      <c r="P7">
        <v>3377.7</v>
      </c>
      <c r="Q7">
        <v>3566.7</v>
      </c>
      <c r="R7">
        <v>3748.9</v>
      </c>
      <c r="S7">
        <v>3930.4</v>
      </c>
      <c r="T7">
        <v>4117.3999999999996</v>
      </c>
      <c r="U7">
        <v>4311.2</v>
      </c>
      <c r="V7">
        <v>4478.3</v>
      </c>
      <c r="W7">
        <v>4668.5</v>
      </c>
      <c r="X7">
        <v>4846.8999999999996</v>
      </c>
      <c r="Y7">
        <v>5022</v>
      </c>
      <c r="Z7">
        <v>5196.2</v>
      </c>
    </row>
    <row r="8" spans="1:26">
      <c r="A8" t="s">
        <v>3</v>
      </c>
      <c r="B8">
        <v>-21.4</v>
      </c>
      <c r="C8">
        <v>67.599999999999994</v>
      </c>
      <c r="D8">
        <v>-138.9</v>
      </c>
      <c r="E8">
        <v>2.6</v>
      </c>
      <c r="F8">
        <v>-51.2</v>
      </c>
      <c r="G8">
        <v>-62.6</v>
      </c>
      <c r="H8">
        <v>-0.8</v>
      </c>
      <c r="I8">
        <v>81.7</v>
      </c>
      <c r="J8">
        <v>109.2</v>
      </c>
      <c r="K8">
        <v>70.599999999999994</v>
      </c>
      <c r="L8">
        <v>-48.3</v>
      </c>
      <c r="M8">
        <v>17.399999999999999</v>
      </c>
      <c r="N8">
        <v>99.9</v>
      </c>
      <c r="O8">
        <v>-21.5</v>
      </c>
      <c r="P8">
        <v>42.2</v>
      </c>
      <c r="Q8">
        <v>-36.1</v>
      </c>
      <c r="R8">
        <v>3.7</v>
      </c>
      <c r="S8">
        <v>50.7</v>
      </c>
      <c r="T8">
        <v>58.5</v>
      </c>
      <c r="U8">
        <v>66.599999999999994</v>
      </c>
      <c r="V8">
        <v>-34.200000000000003</v>
      </c>
      <c r="W8">
        <v>-55.1</v>
      </c>
      <c r="X8">
        <v>124</v>
      </c>
      <c r="Y8">
        <v>-88.9</v>
      </c>
      <c r="Z8">
        <v>-1.9</v>
      </c>
    </row>
    <row r="9" spans="1:26">
      <c r="A9" t="s">
        <v>4</v>
      </c>
      <c r="B9">
        <v>102.6</v>
      </c>
      <c r="C9">
        <v>-27.6</v>
      </c>
      <c r="D9">
        <v>-115.8</v>
      </c>
      <c r="E9">
        <v>-259.2</v>
      </c>
      <c r="F9">
        <v>-374.4</v>
      </c>
      <c r="G9">
        <v>-499</v>
      </c>
      <c r="H9">
        <v>403.5</v>
      </c>
      <c r="I9">
        <v>261.60000000000002</v>
      </c>
      <c r="J9">
        <v>134.19999999999999</v>
      </c>
      <c r="K9">
        <v>19.7</v>
      </c>
      <c r="L9">
        <v>-73.5</v>
      </c>
      <c r="M9">
        <v>-219.8</v>
      </c>
      <c r="N9">
        <v>-328.9</v>
      </c>
      <c r="O9">
        <v>-452.3</v>
      </c>
      <c r="P9">
        <v>-588</v>
      </c>
      <c r="Q9">
        <v>217.3</v>
      </c>
      <c r="R9">
        <v>81.7</v>
      </c>
      <c r="S9">
        <v>-30.4</v>
      </c>
      <c r="T9">
        <v>-160.6</v>
      </c>
      <c r="U9">
        <v>-284.3</v>
      </c>
      <c r="V9">
        <v>-308.60000000000002</v>
      </c>
      <c r="W9">
        <v>-442.7</v>
      </c>
      <c r="X9">
        <v>110.3</v>
      </c>
      <c r="Y9">
        <v>75</v>
      </c>
      <c r="Z9">
        <v>29.6</v>
      </c>
    </row>
    <row r="10" spans="1:26">
      <c r="A10" t="s">
        <v>5</v>
      </c>
      <c r="B10">
        <v>64.34</v>
      </c>
      <c r="C10">
        <v>64.48</v>
      </c>
      <c r="D10">
        <v>64.56</v>
      </c>
      <c r="E10">
        <v>64.72</v>
      </c>
      <c r="F10">
        <v>64.73</v>
      </c>
      <c r="G10">
        <v>64.760000000000005</v>
      </c>
      <c r="H10">
        <v>65.03</v>
      </c>
      <c r="I10">
        <v>65.17</v>
      </c>
      <c r="J10">
        <v>65.2</v>
      </c>
      <c r="K10">
        <v>65.19</v>
      </c>
      <c r="L10">
        <v>65.16</v>
      </c>
      <c r="M10">
        <v>65.209999999999994</v>
      </c>
      <c r="N10">
        <v>65.23</v>
      </c>
      <c r="O10">
        <v>65.23</v>
      </c>
      <c r="P10">
        <v>65.16</v>
      </c>
      <c r="Q10">
        <v>65.25</v>
      </c>
      <c r="R10">
        <v>65.239999999999995</v>
      </c>
      <c r="S10">
        <v>65.23</v>
      </c>
      <c r="T10">
        <v>65.22</v>
      </c>
      <c r="U10">
        <v>65.14</v>
      </c>
      <c r="V10">
        <v>65.099999999999994</v>
      </c>
      <c r="W10">
        <v>64.97</v>
      </c>
      <c r="X10">
        <v>64.790000000000006</v>
      </c>
      <c r="Y10">
        <v>64.78</v>
      </c>
      <c r="Z10">
        <v>64.72</v>
      </c>
    </row>
    <row r="11" spans="1:26">
      <c r="A11" t="s">
        <v>6</v>
      </c>
      <c r="B11">
        <v>93.1</v>
      </c>
      <c r="C11">
        <v>91.9</v>
      </c>
      <c r="D11">
        <v>91.6</v>
      </c>
      <c r="E11">
        <v>91.3</v>
      </c>
      <c r="F11">
        <v>91.1</v>
      </c>
      <c r="G11">
        <v>91</v>
      </c>
      <c r="H11">
        <v>90.6</v>
      </c>
      <c r="I11">
        <v>90.5</v>
      </c>
      <c r="J11">
        <v>90.6</v>
      </c>
      <c r="K11">
        <v>90.6</v>
      </c>
      <c r="L11">
        <v>90.7</v>
      </c>
      <c r="M11">
        <v>90.8</v>
      </c>
      <c r="N11">
        <v>91</v>
      </c>
      <c r="O11">
        <v>91</v>
      </c>
      <c r="P11">
        <v>91.1</v>
      </c>
      <c r="Q11">
        <v>90.9</v>
      </c>
      <c r="R11">
        <v>90.8</v>
      </c>
      <c r="S11">
        <v>90.9</v>
      </c>
      <c r="T11">
        <v>91.1</v>
      </c>
      <c r="U11">
        <v>91.1</v>
      </c>
      <c r="V11">
        <v>91.3</v>
      </c>
      <c r="W11">
        <v>91.5</v>
      </c>
      <c r="X11">
        <v>91.5</v>
      </c>
      <c r="Y11">
        <v>91.4</v>
      </c>
      <c r="Z11">
        <v>91.7</v>
      </c>
    </row>
    <row r="12" spans="1:26">
      <c r="A12" t="s">
        <v>7</v>
      </c>
      <c r="B12">
        <v>785.7</v>
      </c>
      <c r="C12">
        <v>941.8</v>
      </c>
      <c r="D12">
        <v>1118.3</v>
      </c>
      <c r="E12">
        <v>1291.7</v>
      </c>
      <c r="F12">
        <v>1480.5</v>
      </c>
      <c r="G12">
        <v>1658.2</v>
      </c>
      <c r="H12">
        <v>1843.3</v>
      </c>
      <c r="I12">
        <v>2030.2</v>
      </c>
      <c r="J12">
        <v>2213.1</v>
      </c>
      <c r="K12">
        <v>2393.8000000000002</v>
      </c>
      <c r="L12">
        <v>2565.8000000000002</v>
      </c>
      <c r="M12">
        <v>2752.5</v>
      </c>
      <c r="N12">
        <v>2945.2</v>
      </c>
      <c r="O12">
        <v>3126</v>
      </c>
      <c r="P12">
        <v>3313.3</v>
      </c>
      <c r="Q12">
        <v>3495.4</v>
      </c>
      <c r="R12">
        <v>3675.7</v>
      </c>
      <c r="S12">
        <v>3853.5</v>
      </c>
      <c r="T12">
        <v>4036.3</v>
      </c>
      <c r="U12">
        <v>4225.5</v>
      </c>
      <c r="V12">
        <v>4394.5</v>
      </c>
      <c r="W12">
        <v>4579.3</v>
      </c>
      <c r="X12">
        <v>4758.2</v>
      </c>
      <c r="Y12">
        <v>4925.3999999999996</v>
      </c>
      <c r="Z12">
        <v>5100.3</v>
      </c>
    </row>
    <row r="13" spans="1:26">
      <c r="A13" t="s">
        <v>8</v>
      </c>
      <c r="B13">
        <v>844.2</v>
      </c>
      <c r="C13">
        <v>1024.3</v>
      </c>
      <c r="D13">
        <v>1221.0999999999999</v>
      </c>
      <c r="E13">
        <v>1415.5</v>
      </c>
      <c r="F13">
        <v>1625.5</v>
      </c>
      <c r="G13">
        <v>1821.5</v>
      </c>
      <c r="H13">
        <v>2034.8</v>
      </c>
      <c r="I13">
        <v>2243.1999999999998</v>
      </c>
      <c r="J13">
        <v>2443.1999999999998</v>
      </c>
      <c r="K13">
        <v>2642.5</v>
      </c>
      <c r="L13">
        <v>2828.4</v>
      </c>
      <c r="M13">
        <v>3031.2</v>
      </c>
      <c r="N13">
        <v>3236.1</v>
      </c>
      <c r="O13">
        <v>3434</v>
      </c>
      <c r="P13">
        <v>3635.4</v>
      </c>
      <c r="Q13">
        <v>3845.4</v>
      </c>
      <c r="R13">
        <v>4048.9</v>
      </c>
      <c r="S13">
        <v>4240.7</v>
      </c>
      <c r="T13">
        <v>4432.6000000000004</v>
      </c>
      <c r="U13">
        <v>4636.1000000000004</v>
      </c>
      <c r="V13">
        <v>4812.5</v>
      </c>
      <c r="W13">
        <v>5003</v>
      </c>
      <c r="X13">
        <v>5201.1000000000004</v>
      </c>
      <c r="Y13">
        <v>5386.7</v>
      </c>
      <c r="Z13">
        <v>5561.2</v>
      </c>
    </row>
    <row r="14" spans="1:26">
      <c r="A14" t="s">
        <v>9</v>
      </c>
      <c r="B14">
        <v>873.2</v>
      </c>
      <c r="C14">
        <v>1050.5</v>
      </c>
      <c r="D14">
        <v>1254.5</v>
      </c>
      <c r="E14">
        <v>1451.7</v>
      </c>
      <c r="F14">
        <v>1673.2</v>
      </c>
      <c r="G14">
        <v>1875.4</v>
      </c>
      <c r="H14">
        <v>2102</v>
      </c>
      <c r="I14">
        <v>2315.6999999999998</v>
      </c>
      <c r="J14">
        <v>2519.1</v>
      </c>
      <c r="K14">
        <v>2717.3</v>
      </c>
      <c r="L14">
        <v>2914.8</v>
      </c>
      <c r="M14">
        <v>3124.7</v>
      </c>
      <c r="N14">
        <v>3329.6</v>
      </c>
      <c r="O14">
        <v>3526.3</v>
      </c>
      <c r="P14">
        <v>3722.8</v>
      </c>
      <c r="Q14">
        <v>3940.3</v>
      </c>
      <c r="R14">
        <v>4162.3</v>
      </c>
      <c r="S14">
        <v>4361.3999999999996</v>
      </c>
      <c r="T14">
        <v>4565.3999999999996</v>
      </c>
      <c r="U14">
        <v>4772.1000000000004</v>
      </c>
      <c r="V14">
        <v>4937.7</v>
      </c>
      <c r="W14">
        <v>5149.8999999999996</v>
      </c>
      <c r="X14">
        <v>5355</v>
      </c>
      <c r="Y14">
        <v>5530.9</v>
      </c>
      <c r="Z14">
        <v>5715.2</v>
      </c>
    </row>
    <row r="15" spans="1:26">
      <c r="A15" t="s">
        <v>10</v>
      </c>
      <c r="B15">
        <v>811.8</v>
      </c>
      <c r="C15">
        <v>960.4</v>
      </c>
      <c r="D15">
        <v>1142.2</v>
      </c>
      <c r="E15">
        <v>1326.8</v>
      </c>
      <c r="F15">
        <v>1531.6</v>
      </c>
      <c r="G15">
        <v>1720.5</v>
      </c>
      <c r="H15">
        <v>1910.4</v>
      </c>
      <c r="I15">
        <v>2102.3000000000002</v>
      </c>
      <c r="J15">
        <v>2287.5</v>
      </c>
      <c r="K15">
        <v>2472.1</v>
      </c>
      <c r="L15">
        <v>2645.9</v>
      </c>
      <c r="M15">
        <v>2836.9</v>
      </c>
      <c r="N15">
        <v>3040</v>
      </c>
      <c r="O15">
        <v>3229.1</v>
      </c>
      <c r="P15">
        <v>3422.8</v>
      </c>
      <c r="Q15">
        <v>3602.3</v>
      </c>
      <c r="R15">
        <v>3786.2</v>
      </c>
      <c r="S15">
        <v>3965.1</v>
      </c>
      <c r="T15">
        <v>4156.1000000000004</v>
      </c>
      <c r="U15">
        <v>4350.8</v>
      </c>
      <c r="V15">
        <v>4516.8</v>
      </c>
      <c r="W15">
        <v>4706.7</v>
      </c>
      <c r="X15">
        <v>4894.5</v>
      </c>
      <c r="Y15">
        <v>5073.2</v>
      </c>
      <c r="Z15">
        <v>5250.8</v>
      </c>
    </row>
    <row r="16" spans="1:26">
      <c r="A16" t="s">
        <v>11</v>
      </c>
      <c r="B16">
        <v>843.7</v>
      </c>
      <c r="C16">
        <v>1023.6</v>
      </c>
      <c r="D16">
        <v>1220.3</v>
      </c>
      <c r="E16">
        <v>1414.6</v>
      </c>
      <c r="F16">
        <v>1624.5</v>
      </c>
      <c r="G16">
        <v>1820.3</v>
      </c>
      <c r="H16">
        <v>2033.5</v>
      </c>
      <c r="I16">
        <v>2241.8000000000002</v>
      </c>
      <c r="J16">
        <v>2441.6</v>
      </c>
      <c r="K16">
        <v>2640.8</v>
      </c>
      <c r="L16">
        <v>2826.6</v>
      </c>
      <c r="M16">
        <v>3029.3</v>
      </c>
      <c r="N16">
        <v>3234.1</v>
      </c>
      <c r="O16">
        <v>3431.9</v>
      </c>
      <c r="P16">
        <v>3633.2</v>
      </c>
      <c r="Q16">
        <v>3843</v>
      </c>
      <c r="R16">
        <v>4046.4</v>
      </c>
      <c r="S16">
        <v>4238.1000000000004</v>
      </c>
      <c r="T16">
        <v>4429.8999999999996</v>
      </c>
      <c r="U16">
        <v>4633.3</v>
      </c>
      <c r="V16">
        <v>4809.5</v>
      </c>
      <c r="W16">
        <v>4999.8999999999996</v>
      </c>
      <c r="X16">
        <v>5197.8999999999996</v>
      </c>
      <c r="Y16">
        <v>5383.4</v>
      </c>
      <c r="Z16">
        <v>5557.8</v>
      </c>
    </row>
    <row r="17" spans="1:26">
      <c r="A17" t="s">
        <v>12</v>
      </c>
      <c r="B17">
        <v>785.2</v>
      </c>
      <c r="C17">
        <v>941.2</v>
      </c>
      <c r="D17">
        <v>1117.7</v>
      </c>
      <c r="E17">
        <v>1290.9000000000001</v>
      </c>
      <c r="F17">
        <v>1479.6</v>
      </c>
      <c r="G17">
        <v>1657.2</v>
      </c>
      <c r="H17">
        <v>1842.2</v>
      </c>
      <c r="I17">
        <v>2029</v>
      </c>
      <c r="J17">
        <v>2211.8000000000002</v>
      </c>
      <c r="K17">
        <v>2392.3000000000002</v>
      </c>
      <c r="L17">
        <v>2564.1999999999998</v>
      </c>
      <c r="M17">
        <v>2750.8</v>
      </c>
      <c r="N17">
        <v>2943.4</v>
      </c>
      <c r="O17">
        <v>3124.1</v>
      </c>
      <c r="P17">
        <v>3311.3</v>
      </c>
      <c r="Q17">
        <v>3493.2</v>
      </c>
      <c r="R17">
        <v>3673.4</v>
      </c>
      <c r="S17">
        <v>3851.1</v>
      </c>
      <c r="T17">
        <v>4033.8</v>
      </c>
      <c r="U17">
        <v>4222.8999999999996</v>
      </c>
      <c r="V17">
        <v>4391.7</v>
      </c>
      <c r="W17">
        <v>4576.5</v>
      </c>
      <c r="X17">
        <v>4755.2</v>
      </c>
      <c r="Y17">
        <v>4922.3</v>
      </c>
      <c r="Z17">
        <v>5097.2</v>
      </c>
    </row>
    <row r="18" spans="1:26">
      <c r="A18" t="s">
        <v>15</v>
      </c>
      <c r="B18">
        <f>B12-B14</f>
        <v>-87.5</v>
      </c>
      <c r="C18">
        <f t="shared" ref="C18:Z18" si="1">C12-C14</f>
        <v>-108.70000000000005</v>
      </c>
      <c r="D18">
        <f t="shared" si="1"/>
        <v>-136.20000000000005</v>
      </c>
      <c r="E18">
        <f t="shared" si="1"/>
        <v>-160</v>
      </c>
      <c r="F18">
        <f t="shared" si="1"/>
        <v>-192.70000000000005</v>
      </c>
      <c r="G18">
        <f t="shared" si="1"/>
        <v>-217.20000000000005</v>
      </c>
      <c r="H18">
        <f t="shared" si="1"/>
        <v>-258.70000000000005</v>
      </c>
      <c r="I18">
        <f t="shared" si="1"/>
        <v>-285.49999999999977</v>
      </c>
      <c r="J18">
        <f t="shared" si="1"/>
        <v>-306</v>
      </c>
      <c r="K18">
        <f t="shared" si="1"/>
        <v>-323.5</v>
      </c>
      <c r="L18">
        <f t="shared" si="1"/>
        <v>-349</v>
      </c>
      <c r="M18">
        <f t="shared" si="1"/>
        <v>-372.19999999999982</v>
      </c>
      <c r="N18">
        <f t="shared" si="1"/>
        <v>-384.40000000000009</v>
      </c>
      <c r="O18">
        <f t="shared" si="1"/>
        <v>-400.30000000000018</v>
      </c>
      <c r="P18">
        <f t="shared" si="1"/>
        <v>-409.5</v>
      </c>
      <c r="Q18">
        <f t="shared" si="1"/>
        <v>-444.90000000000009</v>
      </c>
      <c r="R18">
        <f t="shared" si="1"/>
        <v>-486.60000000000036</v>
      </c>
      <c r="S18">
        <f t="shared" si="1"/>
        <v>-507.89999999999964</v>
      </c>
      <c r="T18">
        <f t="shared" si="1"/>
        <v>-529.09999999999945</v>
      </c>
      <c r="U18">
        <f t="shared" si="1"/>
        <v>-546.60000000000036</v>
      </c>
      <c r="V18">
        <f t="shared" si="1"/>
        <v>-543.19999999999982</v>
      </c>
      <c r="W18">
        <f t="shared" si="1"/>
        <v>-570.59999999999945</v>
      </c>
      <c r="X18">
        <f t="shared" si="1"/>
        <v>-596.80000000000018</v>
      </c>
      <c r="Y18">
        <f t="shared" si="1"/>
        <v>-605.5</v>
      </c>
      <c r="Z18">
        <f t="shared" si="1"/>
        <v>-614.89999999999964</v>
      </c>
    </row>
    <row r="19" spans="1:26">
      <c r="A19" t="s">
        <v>14</v>
      </c>
      <c r="B19">
        <f>+B13-B15</f>
        <v>32.400000000000091</v>
      </c>
      <c r="C19">
        <f t="shared" ref="C19:Z19" si="2">+C13-C15</f>
        <v>63.899999999999977</v>
      </c>
      <c r="D19">
        <f t="shared" si="2"/>
        <v>78.899999999999864</v>
      </c>
      <c r="E19">
        <f t="shared" si="2"/>
        <v>88.700000000000045</v>
      </c>
      <c r="F19">
        <f t="shared" si="2"/>
        <v>93.900000000000091</v>
      </c>
      <c r="G19">
        <f t="shared" si="2"/>
        <v>101</v>
      </c>
      <c r="H19">
        <f t="shared" si="2"/>
        <v>124.39999999999986</v>
      </c>
      <c r="I19">
        <f t="shared" si="2"/>
        <v>140.89999999999964</v>
      </c>
      <c r="J19">
        <f t="shared" si="2"/>
        <v>155.69999999999982</v>
      </c>
      <c r="K19">
        <f t="shared" si="2"/>
        <v>170.40000000000009</v>
      </c>
      <c r="L19">
        <f t="shared" si="2"/>
        <v>182.5</v>
      </c>
      <c r="M19">
        <f t="shared" si="2"/>
        <v>194.29999999999973</v>
      </c>
      <c r="N19">
        <f t="shared" si="2"/>
        <v>196.09999999999991</v>
      </c>
      <c r="O19">
        <f t="shared" si="2"/>
        <v>204.90000000000009</v>
      </c>
      <c r="P19">
        <f t="shared" si="2"/>
        <v>212.59999999999991</v>
      </c>
      <c r="Q19">
        <f t="shared" si="2"/>
        <v>243.09999999999991</v>
      </c>
      <c r="R19">
        <f t="shared" si="2"/>
        <v>262.70000000000027</v>
      </c>
      <c r="S19">
        <f t="shared" si="2"/>
        <v>275.59999999999991</v>
      </c>
      <c r="T19">
        <f t="shared" si="2"/>
        <v>276.5</v>
      </c>
      <c r="U19">
        <f t="shared" si="2"/>
        <v>285.30000000000018</v>
      </c>
      <c r="V19">
        <f t="shared" si="2"/>
        <v>295.69999999999982</v>
      </c>
      <c r="W19">
        <f t="shared" si="2"/>
        <v>296.30000000000018</v>
      </c>
      <c r="X19">
        <f t="shared" si="2"/>
        <v>306.60000000000036</v>
      </c>
      <c r="Y19">
        <f t="shared" si="2"/>
        <v>313.5</v>
      </c>
      <c r="Z19">
        <f t="shared" si="2"/>
        <v>310.39999999999964</v>
      </c>
    </row>
    <row r="20" spans="1:26">
      <c r="A20" t="s">
        <v>16</v>
      </c>
      <c r="B20">
        <f>+B12/B13</f>
        <v>0.93070362473347545</v>
      </c>
      <c r="C20">
        <f t="shared" ref="C20:Z20" si="3">+C12/C13</f>
        <v>0.91945719027628625</v>
      </c>
      <c r="D20">
        <f t="shared" si="3"/>
        <v>0.91581361067889611</v>
      </c>
      <c r="E20">
        <f t="shared" si="3"/>
        <v>0.91253973860826565</v>
      </c>
      <c r="F20">
        <f t="shared" si="3"/>
        <v>0.91079667794524766</v>
      </c>
      <c r="G20">
        <f t="shared" si="3"/>
        <v>0.91034861377985177</v>
      </c>
      <c r="H20">
        <f t="shared" si="3"/>
        <v>0.90588755651661101</v>
      </c>
      <c r="I20">
        <f t="shared" si="3"/>
        <v>0.90504636233951508</v>
      </c>
      <c r="J20">
        <f t="shared" si="3"/>
        <v>0.90582023575638515</v>
      </c>
      <c r="K20">
        <f t="shared" si="3"/>
        <v>0.90588457899716179</v>
      </c>
      <c r="L20">
        <f t="shared" si="3"/>
        <v>0.90715598925187391</v>
      </c>
      <c r="M20">
        <f t="shared" si="3"/>
        <v>0.90805621536025338</v>
      </c>
      <c r="N20">
        <f t="shared" si="3"/>
        <v>0.91010784586384841</v>
      </c>
      <c r="O20">
        <f t="shared" si="3"/>
        <v>0.91030867792661618</v>
      </c>
      <c r="P20">
        <f t="shared" si="3"/>
        <v>0.91139902074049628</v>
      </c>
      <c r="Q20">
        <f t="shared" si="3"/>
        <v>0.9089821605034587</v>
      </c>
      <c r="R20">
        <f t="shared" si="3"/>
        <v>0.90782681716021629</v>
      </c>
      <c r="S20">
        <f t="shared" si="3"/>
        <v>0.9086943193340723</v>
      </c>
      <c r="T20">
        <f t="shared" si="3"/>
        <v>0.91059423363263092</v>
      </c>
      <c r="U20">
        <f t="shared" si="3"/>
        <v>0.91143417959060413</v>
      </c>
      <c r="V20">
        <f t="shared" si="3"/>
        <v>0.91314285714285715</v>
      </c>
      <c r="W20">
        <f t="shared" si="3"/>
        <v>0.91531081351189292</v>
      </c>
      <c r="X20">
        <f t="shared" si="3"/>
        <v>0.91484493664801669</v>
      </c>
      <c r="Y20">
        <f t="shared" si="3"/>
        <v>0.91436315369335586</v>
      </c>
      <c r="Z20">
        <f t="shared" si="3"/>
        <v>0.91712220384089771</v>
      </c>
    </row>
    <row r="21" spans="1:26">
      <c r="A21" t="s">
        <v>17</v>
      </c>
      <c r="B21">
        <f>B15/B14</f>
        <v>0.92968392120934484</v>
      </c>
      <c r="C21">
        <f t="shared" ref="C21:Z21" si="4">C15/C14</f>
        <v>0.9142313184198001</v>
      </c>
      <c r="D21">
        <f t="shared" si="4"/>
        <v>0.91048226385013953</v>
      </c>
      <c r="E21">
        <f t="shared" si="4"/>
        <v>0.91396294000137768</v>
      </c>
      <c r="F21">
        <f t="shared" si="4"/>
        <v>0.91537174276834798</v>
      </c>
      <c r="G21">
        <f t="shared" si="4"/>
        <v>0.91740428708542177</v>
      </c>
      <c r="H21">
        <f t="shared" si="4"/>
        <v>0.90884871550903901</v>
      </c>
      <c r="I21">
        <f t="shared" si="4"/>
        <v>0.9078464395215271</v>
      </c>
      <c r="J21">
        <f t="shared" si="4"/>
        <v>0.90806240323925214</v>
      </c>
      <c r="K21">
        <f t="shared" si="4"/>
        <v>0.90976336804916635</v>
      </c>
      <c r="L21">
        <f t="shared" si="4"/>
        <v>0.907746672155894</v>
      </c>
      <c r="M21">
        <f t="shared" si="4"/>
        <v>0.90789515793516185</v>
      </c>
      <c r="N21">
        <f t="shared" si="4"/>
        <v>0.91302258529553104</v>
      </c>
      <c r="O21">
        <f t="shared" si="4"/>
        <v>0.91571902560757723</v>
      </c>
      <c r="P21">
        <f t="shared" si="4"/>
        <v>0.91941549371440856</v>
      </c>
      <c r="Q21">
        <f t="shared" si="4"/>
        <v>0.91421972946222374</v>
      </c>
      <c r="R21">
        <f t="shared" si="4"/>
        <v>0.90964130408668276</v>
      </c>
      <c r="S21">
        <f t="shared" si="4"/>
        <v>0.90913468152428123</v>
      </c>
      <c r="T21">
        <f t="shared" si="4"/>
        <v>0.9103473956279845</v>
      </c>
      <c r="U21">
        <f t="shared" si="4"/>
        <v>0.91171601600972318</v>
      </c>
      <c r="V21">
        <f t="shared" si="4"/>
        <v>0.91475788322498341</v>
      </c>
      <c r="W21">
        <f t="shared" si="4"/>
        <v>0.9139400765063399</v>
      </c>
      <c r="X21">
        <f t="shared" si="4"/>
        <v>0.91400560224089633</v>
      </c>
      <c r="Y21">
        <f t="shared" si="4"/>
        <v>0.91724674103672099</v>
      </c>
      <c r="Z21">
        <f t="shared" si="4"/>
        <v>0.91874300111982088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Avishkar</dc:creator>
  <cp:lastModifiedBy>Karin Kruuse</cp:lastModifiedBy>
  <dcterms:created xsi:type="dcterms:W3CDTF">2025-07-21T09:59:00Z</dcterms:created>
  <dcterms:modified xsi:type="dcterms:W3CDTF">2026-02-10T23:11:17Z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EC7C3873447544EBA4DF394837974AF8_12</vt:lpwstr>
  </property>
  <property fmtid="{D5CDD505-2E9C-101B-9397-08002B2CF9AE}" pid="3" name="KSOProductBuildVer">
    <vt:lpwstr>1033-12.2.0.23196</vt:lpwstr>
  </property>
</Properties>
</file>